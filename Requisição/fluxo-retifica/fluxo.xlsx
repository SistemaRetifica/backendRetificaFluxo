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iente\Documents\java\fluxo-retifica\"/>
    </mc:Choice>
  </mc:AlternateContent>
  <bookViews>
    <workbookView xWindow="0" yWindow="0" windowWidth="20490" windowHeight="823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1" i="1" l="1"/>
  <c r="B93" i="1"/>
  <c r="B92" i="1"/>
  <c r="D54" i="1"/>
  <c r="C54" i="1"/>
  <c r="B54" i="1"/>
</calcChain>
</file>

<file path=xl/sharedStrings.xml><?xml version="1.0" encoding="utf-8"?>
<sst xmlns="http://schemas.openxmlformats.org/spreadsheetml/2006/main" count="166" uniqueCount="98">
  <si>
    <t>servico</t>
  </si>
  <si>
    <t>fabricante</t>
  </si>
  <si>
    <t>modelo</t>
  </si>
  <si>
    <t>nome</t>
  </si>
  <si>
    <t>descricao</t>
  </si>
  <si>
    <t>classificacao</t>
  </si>
  <si>
    <t>cassificacao</t>
  </si>
  <si>
    <t>peca</t>
  </si>
  <si>
    <t>usinagem</t>
  </si>
  <si>
    <t>MWM</t>
  </si>
  <si>
    <t>Cummins</t>
  </si>
  <si>
    <t>D229</t>
  </si>
  <si>
    <t>A</t>
  </si>
  <si>
    <t>B</t>
  </si>
  <si>
    <t>C</t>
  </si>
  <si>
    <t>TD229</t>
  </si>
  <si>
    <t>Volvo</t>
  </si>
  <si>
    <t>FH D13</t>
  </si>
  <si>
    <t>Bloco</t>
  </si>
  <si>
    <t>Cabeçote</t>
  </si>
  <si>
    <t>Virabrequim</t>
  </si>
  <si>
    <t>Biela</t>
  </si>
  <si>
    <t>Comando</t>
  </si>
  <si>
    <t>Tampa valvula</t>
  </si>
  <si>
    <t>Mancal do bloco</t>
  </si>
  <si>
    <t>Engrenagem</t>
  </si>
  <si>
    <t>true</t>
  </si>
  <si>
    <t>false</t>
  </si>
  <si>
    <t>Retificar virabrequim</t>
  </si>
  <si>
    <t>preco</t>
  </si>
  <si>
    <t>Cadastro de serviço vinculado com fabricante e modelo do motor</t>
  </si>
  <si>
    <t>Controle Orçamento e Ordens de Serviço (OS)</t>
  </si>
  <si>
    <t>Cliente</t>
  </si>
  <si>
    <t>Mecanica</t>
  </si>
  <si>
    <t>E-mail</t>
  </si>
  <si>
    <t>os</t>
  </si>
  <si>
    <t>cliente</t>
  </si>
  <si>
    <t>data_abertura</t>
  </si>
  <si>
    <t>data_fechamento</t>
  </si>
  <si>
    <t>situacao</t>
  </si>
  <si>
    <t>quantidade</t>
  </si>
  <si>
    <t>Retificar comando</t>
  </si>
  <si>
    <t>Alinhamento</t>
  </si>
  <si>
    <t>Retificar sede</t>
  </si>
  <si>
    <t>João</t>
  </si>
  <si>
    <t>Mecanica do Pedro</t>
  </si>
  <si>
    <t>(077)984565665</t>
  </si>
  <si>
    <t>(077)999697878</t>
  </si>
  <si>
    <t>joão@gmail.com</t>
  </si>
  <si>
    <t>mecpedro@gmail.com</t>
  </si>
  <si>
    <t>Mecânica do Alvaro</t>
  </si>
  <si>
    <t>(077)985785412</t>
  </si>
  <si>
    <t>mecanicaalvaro@gmail.com</t>
  </si>
  <si>
    <t>Passou água no segundo cilindro, verificar possivel trinca</t>
  </si>
  <si>
    <t>nota_cliente</t>
  </si>
  <si>
    <t>nota</t>
  </si>
  <si>
    <t>Teste de trinca realizado, não apresentou vazamento</t>
  </si>
  <si>
    <t>data</t>
  </si>
  <si>
    <t>usuario</t>
  </si>
  <si>
    <t>placa</t>
  </si>
  <si>
    <t>PBN-1212</t>
  </si>
  <si>
    <t>fase</t>
  </si>
  <si>
    <t>Desmontado(Desmontado, Montado, No Veículo)</t>
  </si>
  <si>
    <t>Orcamento(Orçamento, Autorização, Autorizado, Peças, Produção, Faturando, Entregue, Finalizado)</t>
  </si>
  <si>
    <t>tempo</t>
  </si>
  <si>
    <t>colaborador</t>
  </si>
  <si>
    <t>telefone</t>
  </si>
  <si>
    <t>login</t>
  </si>
  <si>
    <t>senha</t>
  </si>
  <si>
    <t>observação</t>
  </si>
  <si>
    <t>Marcos</t>
  </si>
  <si>
    <t>(077)999854545</t>
  </si>
  <si>
    <t>Pedro</t>
  </si>
  <si>
    <t>(077)956568585</t>
  </si>
  <si>
    <t>Antonio</t>
  </si>
  <si>
    <t>(077)999554433</t>
  </si>
  <si>
    <t>Controle de entrada e saida dos Colaboradores</t>
  </si>
  <si>
    <t>ponto</t>
  </si>
  <si>
    <t>marcos</t>
  </si>
  <si>
    <t>pedro</t>
  </si>
  <si>
    <t>antonio</t>
  </si>
  <si>
    <t>Entrada</t>
  </si>
  <si>
    <t>Saida</t>
  </si>
  <si>
    <t>os_servico_colaborador</t>
  </si>
  <si>
    <t>os_servico</t>
  </si>
  <si>
    <t>os_peca</t>
  </si>
  <si>
    <t>os_anotacao</t>
  </si>
  <si>
    <t>data_hora_inicio</t>
  </si>
  <si>
    <t>data_hora_fim</t>
  </si>
  <si>
    <t>Pausado</t>
  </si>
  <si>
    <t>Concluido</t>
  </si>
  <si>
    <t>Concluido(Fazendo, Pausado, Concluido, Cancelado)</t>
  </si>
  <si>
    <t>Pronto(A fazer, Fazendo, Pronto)</t>
  </si>
  <si>
    <t>Pronto</t>
  </si>
  <si>
    <t>Hora Produção</t>
  </si>
  <si>
    <t>tempo na empresa</t>
  </si>
  <si>
    <t>tempo produção</t>
  </si>
  <si>
    <t>tempo ocioso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</si>
</sst>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8" fontId="0" fillId="0" borderId="1" xfId="0" applyNumberFormat="1" applyBorder="1"/>
    <xf numFmtId="0" fontId="0" fillId="0" borderId="1" xfId="0" applyFill="1" applyBorder="1"/>
    <xf numFmtId="8" fontId="0" fillId="0" borderId="1" xfId="0" applyNumberFormat="1" applyFill="1" applyBorder="1"/>
    <xf numFmtId="0" fontId="0" fillId="0" borderId="0" xfId="0" applyAlignment="1"/>
    <xf numFmtId="0" fontId="0" fillId="0" borderId="1" xfId="0" quotePrefix="1" applyBorder="1"/>
    <xf numFmtId="14" fontId="0" fillId="0" borderId="1" xfId="0" applyNumberFormat="1" applyBorder="1"/>
    <xf numFmtId="0" fontId="1" fillId="0" borderId="1" xfId="1" applyBorder="1"/>
    <xf numFmtId="20" fontId="0" fillId="0" borderId="1" xfId="0" applyNumberFormat="1" applyBorder="1"/>
    <xf numFmtId="0" fontId="0" fillId="0" borderId="0" xfId="0" applyBorder="1"/>
    <xf numFmtId="0" fontId="0" fillId="0" borderId="0" xfId="0" applyFill="1" applyBorder="1"/>
    <xf numFmtId="0" fontId="0" fillId="0" borderId="2" xfId="0" applyFill="1" applyBorder="1"/>
    <xf numFmtId="22" fontId="0" fillId="0" borderId="1" xfId="0" applyNumberFormat="1" applyBorder="1"/>
    <xf numFmtId="22" fontId="0" fillId="0" borderId="0" xfId="0" applyNumberFormat="1" applyBorder="1"/>
    <xf numFmtId="22" fontId="0" fillId="0" borderId="0" xfId="0" applyNumberFormat="1" applyFill="1" applyBorder="1"/>
    <xf numFmtId="0" fontId="2" fillId="0" borderId="1" xfId="0" applyFont="1" applyBorder="1"/>
    <xf numFmtId="165" fontId="0" fillId="0" borderId="1" xfId="0" applyNumberForma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canicaalvaro@gmail.com" TargetMode="External"/><Relationship Id="rId2" Type="http://schemas.openxmlformats.org/officeDocument/2006/relationships/hyperlink" Target="mailto:mecpedro@gmail.com" TargetMode="External"/><Relationship Id="rId1" Type="http://schemas.openxmlformats.org/officeDocument/2006/relationships/hyperlink" Target="mailto:jo&#227;o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93"/>
  <sheetViews>
    <sheetView tabSelected="1" workbookViewId="0"/>
  </sheetViews>
  <sheetFormatPr defaultRowHeight="15" x14ac:dyDescent="0.25"/>
  <cols>
    <col min="1" max="1" width="43.28515625" bestFit="1" customWidth="1"/>
    <col min="2" max="2" width="91.28515625" bestFit="1" customWidth="1"/>
    <col min="3" max="3" width="20" bestFit="1" customWidth="1"/>
    <col min="4" max="4" width="26.28515625" bestFit="1" customWidth="1"/>
    <col min="5" max="6" width="17.28515625" bestFit="1" customWidth="1"/>
    <col min="7" max="7" width="19.7109375" customWidth="1"/>
    <col min="8" max="10" width="16.42578125" bestFit="1" customWidth="1"/>
    <col min="11" max="13" width="15.85546875" bestFit="1" customWidth="1"/>
  </cols>
  <sheetData>
    <row r="2" spans="1:13" x14ac:dyDescent="0.25">
      <c r="A2" s="5" t="s">
        <v>30</v>
      </c>
      <c r="B2" s="5"/>
      <c r="C2" s="5"/>
      <c r="D2" s="5"/>
    </row>
    <row r="4" spans="1:13" x14ac:dyDescent="0.25">
      <c r="A4" s="1" t="s">
        <v>0</v>
      </c>
      <c r="B4" s="1">
        <v>1</v>
      </c>
      <c r="C4" s="1">
        <v>2</v>
      </c>
      <c r="D4" s="1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</row>
    <row r="5" spans="1:13" x14ac:dyDescent="0.25">
      <c r="A5" s="1" t="s">
        <v>4</v>
      </c>
      <c r="B5" s="1" t="s">
        <v>28</v>
      </c>
      <c r="C5" s="1" t="s">
        <v>28</v>
      </c>
      <c r="D5" s="1" t="s">
        <v>28</v>
      </c>
      <c r="E5" s="3" t="s">
        <v>41</v>
      </c>
      <c r="F5" s="3" t="s">
        <v>41</v>
      </c>
      <c r="G5" s="3" t="s">
        <v>41</v>
      </c>
      <c r="H5" s="3" t="s">
        <v>42</v>
      </c>
      <c r="I5" s="3" t="s">
        <v>42</v>
      </c>
      <c r="J5" s="3" t="s">
        <v>42</v>
      </c>
      <c r="K5" s="3" t="s">
        <v>43</v>
      </c>
      <c r="L5" s="3" t="s">
        <v>43</v>
      </c>
      <c r="M5" s="3" t="s">
        <v>43</v>
      </c>
    </row>
    <row r="6" spans="1:13" x14ac:dyDescent="0.25">
      <c r="A6" s="1" t="s">
        <v>5</v>
      </c>
      <c r="B6" s="1" t="s">
        <v>12</v>
      </c>
      <c r="C6" s="1" t="s">
        <v>13</v>
      </c>
      <c r="D6" s="1" t="s">
        <v>14</v>
      </c>
      <c r="E6" s="3" t="s">
        <v>12</v>
      </c>
      <c r="F6" s="3" t="s">
        <v>13</v>
      </c>
      <c r="G6" s="3" t="s">
        <v>14</v>
      </c>
      <c r="H6" s="3" t="s">
        <v>12</v>
      </c>
      <c r="I6" s="3" t="s">
        <v>13</v>
      </c>
      <c r="J6" s="3" t="s">
        <v>14</v>
      </c>
      <c r="K6" s="3" t="s">
        <v>12</v>
      </c>
      <c r="L6" s="3" t="s">
        <v>13</v>
      </c>
      <c r="M6" s="3" t="s">
        <v>14</v>
      </c>
    </row>
    <row r="7" spans="1:13" x14ac:dyDescent="0.25">
      <c r="A7" s="1" t="s">
        <v>7</v>
      </c>
      <c r="B7" s="1">
        <v>3</v>
      </c>
      <c r="C7" s="1">
        <v>3</v>
      </c>
      <c r="D7" s="1">
        <v>3</v>
      </c>
      <c r="E7" s="3">
        <v>5</v>
      </c>
      <c r="F7" s="3">
        <v>5</v>
      </c>
      <c r="G7" s="3">
        <v>5</v>
      </c>
      <c r="H7" s="3">
        <v>1</v>
      </c>
      <c r="I7" s="3">
        <v>1</v>
      </c>
      <c r="J7" s="3">
        <v>1</v>
      </c>
      <c r="K7" s="3">
        <v>2</v>
      </c>
      <c r="L7" s="3">
        <v>2</v>
      </c>
      <c r="M7" s="3">
        <v>2</v>
      </c>
    </row>
    <row r="8" spans="1:13" x14ac:dyDescent="0.25">
      <c r="A8" s="1" t="s">
        <v>29</v>
      </c>
      <c r="B8" s="2">
        <v>600</v>
      </c>
      <c r="C8" s="2">
        <v>750</v>
      </c>
      <c r="D8" s="2">
        <v>1200</v>
      </c>
      <c r="E8" s="4">
        <v>200</v>
      </c>
      <c r="F8" s="4">
        <v>320</v>
      </c>
      <c r="G8" s="4">
        <v>680</v>
      </c>
      <c r="H8" s="4">
        <v>600</v>
      </c>
      <c r="I8" s="4">
        <v>750</v>
      </c>
      <c r="J8" s="4">
        <v>1800</v>
      </c>
      <c r="K8" s="4">
        <v>25</v>
      </c>
      <c r="L8" s="4">
        <v>35</v>
      </c>
      <c r="M8" s="4">
        <v>55</v>
      </c>
    </row>
    <row r="9" spans="1:13" x14ac:dyDescent="0.25">
      <c r="A9" s="3" t="s">
        <v>64</v>
      </c>
      <c r="B9" s="9">
        <v>8.3333333333333329E-2</v>
      </c>
      <c r="C9" s="9">
        <v>8.3333333333333329E-2</v>
      </c>
      <c r="D9" s="9">
        <v>8.3333333333333329E-2</v>
      </c>
      <c r="E9" s="9">
        <v>8.3333333333333329E-2</v>
      </c>
      <c r="F9" s="9">
        <v>8.3333333333333329E-2</v>
      </c>
      <c r="G9" s="9">
        <v>8.3333333333333329E-2</v>
      </c>
      <c r="H9" s="9">
        <v>8.3333333333333329E-2</v>
      </c>
      <c r="I9" s="9">
        <v>8.3333333333333329E-2</v>
      </c>
      <c r="J9" s="9">
        <v>8.3333333333333329E-2</v>
      </c>
      <c r="K9" s="9">
        <v>8.3333333333333329E-2</v>
      </c>
      <c r="L9" s="9">
        <v>8.3333333333333329E-2</v>
      </c>
      <c r="M9" s="9">
        <v>8.3333333333333329E-2</v>
      </c>
    </row>
    <row r="11" spans="1:13" x14ac:dyDescent="0.25">
      <c r="A11" s="1" t="s">
        <v>1</v>
      </c>
      <c r="B11" s="1">
        <v>1</v>
      </c>
      <c r="C11" s="1">
        <v>2</v>
      </c>
      <c r="D11" s="1">
        <v>3</v>
      </c>
    </row>
    <row r="12" spans="1:13" x14ac:dyDescent="0.25">
      <c r="A12" s="1" t="s">
        <v>3</v>
      </c>
      <c r="B12" s="1" t="s">
        <v>9</v>
      </c>
      <c r="C12" s="1" t="s">
        <v>10</v>
      </c>
      <c r="D12" s="1" t="s">
        <v>16</v>
      </c>
    </row>
    <row r="14" spans="1:13" x14ac:dyDescent="0.25">
      <c r="A14" s="1" t="s">
        <v>2</v>
      </c>
      <c r="B14" s="1">
        <v>1</v>
      </c>
      <c r="C14" s="1">
        <v>2</v>
      </c>
      <c r="D14" s="1">
        <v>3</v>
      </c>
    </row>
    <row r="15" spans="1:13" x14ac:dyDescent="0.25">
      <c r="A15" s="1" t="s">
        <v>1</v>
      </c>
      <c r="B15" s="1">
        <v>1</v>
      </c>
      <c r="C15" s="1">
        <v>1</v>
      </c>
      <c r="D15" s="1">
        <v>3</v>
      </c>
    </row>
    <row r="16" spans="1:13" x14ac:dyDescent="0.25">
      <c r="A16" s="1" t="s">
        <v>3</v>
      </c>
      <c r="B16" s="1" t="s">
        <v>11</v>
      </c>
      <c r="C16" s="1" t="s">
        <v>15</v>
      </c>
      <c r="D16" s="1" t="s">
        <v>17</v>
      </c>
    </row>
    <row r="17" spans="1:9" x14ac:dyDescent="0.25">
      <c r="A17" s="1" t="s">
        <v>6</v>
      </c>
      <c r="B17" s="1">
        <v>1</v>
      </c>
      <c r="C17" s="1">
        <v>1</v>
      </c>
      <c r="D17" s="1">
        <v>3</v>
      </c>
    </row>
    <row r="19" spans="1:9" x14ac:dyDescent="0.25">
      <c r="A19" s="1" t="s">
        <v>5</v>
      </c>
      <c r="B19" s="1">
        <v>1</v>
      </c>
      <c r="C19" s="1">
        <v>2</v>
      </c>
      <c r="D19" s="1">
        <v>3</v>
      </c>
    </row>
    <row r="20" spans="1:9" x14ac:dyDescent="0.25">
      <c r="A20" s="1" t="s">
        <v>3</v>
      </c>
      <c r="B20" s="1" t="s">
        <v>12</v>
      </c>
      <c r="C20" s="1" t="s">
        <v>13</v>
      </c>
      <c r="D20" s="1" t="s">
        <v>14</v>
      </c>
    </row>
    <row r="22" spans="1:9" x14ac:dyDescent="0.25">
      <c r="A22" s="1" t="s">
        <v>7</v>
      </c>
      <c r="B22" s="1">
        <v>1</v>
      </c>
      <c r="C22" s="1">
        <v>2</v>
      </c>
      <c r="D22" s="1">
        <v>3</v>
      </c>
      <c r="E22" s="1">
        <v>4</v>
      </c>
      <c r="F22" s="1">
        <v>5</v>
      </c>
      <c r="G22" s="1">
        <v>6</v>
      </c>
      <c r="H22" s="1">
        <v>7</v>
      </c>
      <c r="I22" s="1">
        <v>8</v>
      </c>
    </row>
    <row r="23" spans="1:9" x14ac:dyDescent="0.25">
      <c r="A23" s="1" t="s">
        <v>3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</row>
    <row r="24" spans="1:9" x14ac:dyDescent="0.25">
      <c r="A24" s="1" t="s">
        <v>8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27</v>
      </c>
      <c r="H24" s="1" t="s">
        <v>27</v>
      </c>
      <c r="I24" s="1" t="s">
        <v>27</v>
      </c>
    </row>
    <row r="26" spans="1:9" x14ac:dyDescent="0.25">
      <c r="A26" t="s">
        <v>31</v>
      </c>
    </row>
    <row r="28" spans="1:9" x14ac:dyDescent="0.25">
      <c r="A28" s="1" t="s">
        <v>35</v>
      </c>
      <c r="B28" s="6">
        <v>1</v>
      </c>
    </row>
    <row r="29" spans="1:9" x14ac:dyDescent="0.25">
      <c r="A29" s="1" t="s">
        <v>33</v>
      </c>
      <c r="B29" s="6">
        <v>2</v>
      </c>
    </row>
    <row r="30" spans="1:9" x14ac:dyDescent="0.25">
      <c r="A30" s="1" t="s">
        <v>32</v>
      </c>
      <c r="B30" s="1">
        <v>1</v>
      </c>
    </row>
    <row r="31" spans="1:9" x14ac:dyDescent="0.25">
      <c r="A31" s="1" t="s">
        <v>59</v>
      </c>
      <c r="B31" s="1" t="s">
        <v>60</v>
      </c>
    </row>
    <row r="32" spans="1:9" x14ac:dyDescent="0.25">
      <c r="A32" s="1" t="s">
        <v>37</v>
      </c>
      <c r="B32" s="7">
        <v>46045</v>
      </c>
    </row>
    <row r="33" spans="1:6" x14ac:dyDescent="0.25">
      <c r="A33" s="1" t="s">
        <v>39</v>
      </c>
      <c r="B33" s="7" t="s">
        <v>62</v>
      </c>
    </row>
    <row r="34" spans="1:6" x14ac:dyDescent="0.25">
      <c r="A34" s="1" t="s">
        <v>38</v>
      </c>
      <c r="B34" s="1"/>
    </row>
    <row r="35" spans="1:6" x14ac:dyDescent="0.25">
      <c r="A35" s="1" t="s">
        <v>61</v>
      </c>
      <c r="B35" s="1" t="s">
        <v>63</v>
      </c>
    </row>
    <row r="36" spans="1:6" x14ac:dyDescent="0.25">
      <c r="A36" s="1" t="s">
        <v>2</v>
      </c>
      <c r="B36" s="1">
        <v>1</v>
      </c>
    </row>
    <row r="37" spans="1:6" x14ac:dyDescent="0.25">
      <c r="A37" s="1" t="s">
        <v>54</v>
      </c>
      <c r="B37" s="1" t="s">
        <v>53</v>
      </c>
    </row>
    <row r="39" spans="1:6" x14ac:dyDescent="0.25">
      <c r="A39" s="1" t="s">
        <v>86</v>
      </c>
      <c r="B39" s="1"/>
    </row>
    <row r="40" spans="1:6" x14ac:dyDescent="0.25">
      <c r="A40" s="1" t="s">
        <v>35</v>
      </c>
      <c r="B40" s="1">
        <v>1</v>
      </c>
    </row>
    <row r="41" spans="1:6" x14ac:dyDescent="0.25">
      <c r="A41" s="1" t="s">
        <v>55</v>
      </c>
      <c r="B41" s="1" t="s">
        <v>56</v>
      </c>
    </row>
    <row r="42" spans="1:6" x14ac:dyDescent="0.25">
      <c r="A42" s="1" t="s">
        <v>57</v>
      </c>
      <c r="B42" s="7">
        <v>46045</v>
      </c>
    </row>
    <row r="43" spans="1:6" x14ac:dyDescent="0.25">
      <c r="A43" s="1" t="s">
        <v>58</v>
      </c>
      <c r="B43" s="1">
        <v>1</v>
      </c>
    </row>
    <row r="45" spans="1:6" x14ac:dyDescent="0.25">
      <c r="A45" s="1" t="s">
        <v>85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</row>
    <row r="46" spans="1:6" x14ac:dyDescent="0.25">
      <c r="A46" s="1" t="s">
        <v>35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</row>
    <row r="47" spans="1:6" x14ac:dyDescent="0.25">
      <c r="A47" s="1" t="s">
        <v>7</v>
      </c>
      <c r="B47" s="1">
        <v>1</v>
      </c>
      <c r="C47" s="1">
        <v>2</v>
      </c>
      <c r="D47" s="1">
        <v>3</v>
      </c>
      <c r="E47" s="1">
        <v>4</v>
      </c>
      <c r="F47" s="1">
        <v>5</v>
      </c>
    </row>
    <row r="48" spans="1:6" x14ac:dyDescent="0.25">
      <c r="A48" s="1" t="s">
        <v>40</v>
      </c>
      <c r="B48" s="1">
        <v>1</v>
      </c>
      <c r="C48" s="1">
        <v>1</v>
      </c>
      <c r="D48" s="1">
        <v>1</v>
      </c>
      <c r="E48" s="1">
        <v>6</v>
      </c>
      <c r="F48" s="1">
        <v>1</v>
      </c>
    </row>
    <row r="50" spans="1:8" x14ac:dyDescent="0.25">
      <c r="A50" s="1" t="s">
        <v>84</v>
      </c>
      <c r="B50" s="1">
        <v>1</v>
      </c>
      <c r="C50" s="1">
        <v>2</v>
      </c>
      <c r="D50" s="1">
        <v>3</v>
      </c>
    </row>
    <row r="51" spans="1:8" x14ac:dyDescent="0.25">
      <c r="A51" s="1" t="s">
        <v>35</v>
      </c>
      <c r="B51" s="1">
        <v>1</v>
      </c>
      <c r="C51" s="1">
        <v>1</v>
      </c>
      <c r="D51" s="1">
        <v>1</v>
      </c>
    </row>
    <row r="52" spans="1:8" x14ac:dyDescent="0.25">
      <c r="A52" s="1" t="s">
        <v>0</v>
      </c>
      <c r="B52" s="1">
        <v>1</v>
      </c>
      <c r="C52" s="1">
        <v>4</v>
      </c>
      <c r="D52" s="1">
        <v>10</v>
      </c>
    </row>
    <row r="53" spans="1:8" x14ac:dyDescent="0.25">
      <c r="A53" s="1" t="s">
        <v>40</v>
      </c>
      <c r="B53" s="1">
        <v>1</v>
      </c>
      <c r="C53" s="1">
        <v>1</v>
      </c>
      <c r="D53" s="1">
        <v>12</v>
      </c>
    </row>
    <row r="54" spans="1:8" x14ac:dyDescent="0.25">
      <c r="A54" s="3" t="s">
        <v>64</v>
      </c>
      <c r="B54" s="9">
        <f>B62-B61+C62-C61</f>
        <v>0.18055555556202307</v>
      </c>
      <c r="C54" s="9">
        <f>D62-D61</f>
        <v>0.29861111111677019</v>
      </c>
      <c r="D54" s="9">
        <f>E62-E61+F62-F61+G62-G61+H62-H61</f>
        <v>0.39236111112404615</v>
      </c>
    </row>
    <row r="55" spans="1:8" x14ac:dyDescent="0.25">
      <c r="A55" s="3" t="s">
        <v>69</v>
      </c>
      <c r="B55" s="1"/>
      <c r="C55" s="1"/>
      <c r="D55" s="1"/>
    </row>
    <row r="56" spans="1:8" x14ac:dyDescent="0.25">
      <c r="A56" s="3" t="s">
        <v>61</v>
      </c>
      <c r="B56" s="1" t="s">
        <v>92</v>
      </c>
      <c r="C56" s="1" t="s">
        <v>93</v>
      </c>
      <c r="D56" s="1" t="s">
        <v>93</v>
      </c>
    </row>
    <row r="57" spans="1:8" x14ac:dyDescent="0.25">
      <c r="A57" s="11"/>
      <c r="B57" s="10"/>
      <c r="C57" s="10"/>
      <c r="D57" s="10"/>
    </row>
    <row r="58" spans="1:8" x14ac:dyDescent="0.25">
      <c r="A58" s="3" t="s">
        <v>83</v>
      </c>
      <c r="B58" s="1">
        <v>1</v>
      </c>
      <c r="C58" s="1">
        <v>2</v>
      </c>
      <c r="D58" s="1">
        <v>3</v>
      </c>
      <c r="E58" s="3">
        <v>4</v>
      </c>
      <c r="F58" s="3">
        <v>5</v>
      </c>
      <c r="G58" s="3">
        <v>4</v>
      </c>
      <c r="H58" s="3">
        <v>5</v>
      </c>
    </row>
    <row r="59" spans="1:8" x14ac:dyDescent="0.25">
      <c r="A59" s="3" t="s">
        <v>84</v>
      </c>
      <c r="B59" s="1">
        <v>1</v>
      </c>
      <c r="C59" s="1">
        <v>1</v>
      </c>
      <c r="D59" s="1">
        <v>2</v>
      </c>
      <c r="E59" s="3">
        <v>3</v>
      </c>
      <c r="F59" s="3">
        <v>3</v>
      </c>
      <c r="G59" s="3">
        <v>3</v>
      </c>
      <c r="H59" s="3">
        <v>3</v>
      </c>
    </row>
    <row r="60" spans="1:8" x14ac:dyDescent="0.25">
      <c r="A60" s="3" t="s">
        <v>65</v>
      </c>
      <c r="B60" s="1">
        <v>1</v>
      </c>
      <c r="C60" s="1">
        <v>2</v>
      </c>
      <c r="D60" s="1">
        <v>3</v>
      </c>
      <c r="E60" s="3">
        <v>1</v>
      </c>
      <c r="F60" s="3">
        <v>2</v>
      </c>
      <c r="G60" s="3">
        <v>1</v>
      </c>
      <c r="H60" s="3">
        <v>2</v>
      </c>
    </row>
    <row r="61" spans="1:8" x14ac:dyDescent="0.25">
      <c r="A61" s="3" t="s">
        <v>87</v>
      </c>
      <c r="B61" s="13">
        <v>46045.347222222219</v>
      </c>
      <c r="C61" s="13">
        <v>46045.361111111109</v>
      </c>
      <c r="D61" s="13">
        <v>46045.347222222219</v>
      </c>
      <c r="E61" s="13">
        <v>46045.597222222219</v>
      </c>
      <c r="F61" s="13">
        <v>46045.597222222219</v>
      </c>
      <c r="G61" s="13">
        <v>46046.361111111109</v>
      </c>
      <c r="H61" s="13">
        <v>46046.34375</v>
      </c>
    </row>
    <row r="62" spans="1:8" x14ac:dyDescent="0.25">
      <c r="A62" s="3" t="s">
        <v>88</v>
      </c>
      <c r="B62" s="13">
        <v>46045.444444444445</v>
      </c>
      <c r="C62" s="13">
        <v>46045.444444444445</v>
      </c>
      <c r="D62" s="13">
        <v>46045.645833333336</v>
      </c>
      <c r="E62" s="13">
        <v>46045.743055555555</v>
      </c>
      <c r="F62" s="13">
        <v>46045.743055555555</v>
      </c>
      <c r="G62" s="13">
        <v>46046.402777777781</v>
      </c>
      <c r="H62" s="13">
        <v>46046.402777777781</v>
      </c>
    </row>
    <row r="63" spans="1:8" x14ac:dyDescent="0.25">
      <c r="A63" s="3" t="s">
        <v>39</v>
      </c>
      <c r="B63" s="1" t="s">
        <v>91</v>
      </c>
      <c r="C63" s="14" t="s">
        <v>90</v>
      </c>
      <c r="D63" s="14" t="s">
        <v>90</v>
      </c>
      <c r="E63" s="14" t="s">
        <v>89</v>
      </c>
      <c r="F63" s="14" t="s">
        <v>89</v>
      </c>
      <c r="G63" s="15" t="s">
        <v>90</v>
      </c>
      <c r="H63" s="15" t="s">
        <v>90</v>
      </c>
    </row>
    <row r="64" spans="1:8" x14ac:dyDescent="0.25">
      <c r="A64" s="11"/>
      <c r="B64" s="14"/>
      <c r="C64" s="14"/>
      <c r="D64" s="14"/>
      <c r="E64" s="14"/>
      <c r="F64" s="14"/>
    </row>
    <row r="66" spans="1:4" x14ac:dyDescent="0.25">
      <c r="A66" s="1" t="s">
        <v>36</v>
      </c>
      <c r="B66" s="1">
        <v>1</v>
      </c>
      <c r="C66" s="1">
        <v>2</v>
      </c>
      <c r="D66" s="1">
        <v>3</v>
      </c>
    </row>
    <row r="67" spans="1:4" x14ac:dyDescent="0.25">
      <c r="A67" s="1" t="s">
        <v>3</v>
      </c>
      <c r="B67" s="1" t="s">
        <v>44</v>
      </c>
      <c r="C67" s="1" t="s">
        <v>45</v>
      </c>
      <c r="D67" s="1" t="s">
        <v>50</v>
      </c>
    </row>
    <row r="68" spans="1:4" x14ac:dyDescent="0.25">
      <c r="A68" s="1" t="s">
        <v>66</v>
      </c>
      <c r="B68" s="1" t="s">
        <v>47</v>
      </c>
      <c r="C68" s="1" t="s">
        <v>46</v>
      </c>
      <c r="D68" s="1" t="s">
        <v>51</v>
      </c>
    </row>
    <row r="69" spans="1:4" x14ac:dyDescent="0.25">
      <c r="A69" s="1" t="s">
        <v>34</v>
      </c>
      <c r="B69" s="8" t="s">
        <v>48</v>
      </c>
      <c r="C69" s="8" t="s">
        <v>49</v>
      </c>
      <c r="D69" s="8" t="s">
        <v>52</v>
      </c>
    </row>
    <row r="72" spans="1:4" x14ac:dyDescent="0.25">
      <c r="A72" t="s">
        <v>76</v>
      </c>
    </row>
    <row r="74" spans="1:4" x14ac:dyDescent="0.25">
      <c r="A74" s="1" t="s">
        <v>58</v>
      </c>
      <c r="B74" s="1">
        <v>1</v>
      </c>
      <c r="C74" s="1">
        <v>2</v>
      </c>
      <c r="D74" s="1">
        <v>3</v>
      </c>
    </row>
    <row r="75" spans="1:4" x14ac:dyDescent="0.25">
      <c r="A75" s="1" t="s">
        <v>65</v>
      </c>
      <c r="B75" s="1">
        <v>2</v>
      </c>
      <c r="C75" s="1">
        <v>1</v>
      </c>
      <c r="D75" s="1">
        <v>3</v>
      </c>
    </row>
    <row r="76" spans="1:4" x14ac:dyDescent="0.25">
      <c r="A76" s="1" t="s">
        <v>67</v>
      </c>
      <c r="B76" s="1" t="s">
        <v>79</v>
      </c>
      <c r="C76" s="1" t="s">
        <v>78</v>
      </c>
      <c r="D76" s="1" t="s">
        <v>80</v>
      </c>
    </row>
    <row r="77" spans="1:4" x14ac:dyDescent="0.25">
      <c r="A77" s="1" t="s">
        <v>68</v>
      </c>
      <c r="B77" s="1">
        <v>123456</v>
      </c>
      <c r="C77" s="1">
        <v>123456</v>
      </c>
      <c r="D77" s="1">
        <v>123456</v>
      </c>
    </row>
    <row r="80" spans="1:4" x14ac:dyDescent="0.25">
      <c r="A80" s="1" t="s">
        <v>65</v>
      </c>
      <c r="B80" s="1">
        <v>1</v>
      </c>
      <c r="C80" s="1">
        <v>2</v>
      </c>
      <c r="D80" s="1">
        <v>3</v>
      </c>
    </row>
    <row r="81" spans="1:13" x14ac:dyDescent="0.25">
      <c r="A81" s="1" t="s">
        <v>3</v>
      </c>
      <c r="B81" s="1" t="s">
        <v>70</v>
      </c>
      <c r="C81" s="1" t="s">
        <v>72</v>
      </c>
      <c r="D81" s="1" t="s">
        <v>74</v>
      </c>
    </row>
    <row r="82" spans="1:13" x14ac:dyDescent="0.25">
      <c r="A82" s="1" t="s">
        <v>66</v>
      </c>
      <c r="B82" s="1" t="s">
        <v>71</v>
      </c>
      <c r="C82" s="1" t="s">
        <v>73</v>
      </c>
      <c r="D82" s="1" t="s">
        <v>75</v>
      </c>
    </row>
    <row r="84" spans="1:13" x14ac:dyDescent="0.25">
      <c r="A84" s="1" t="s">
        <v>77</v>
      </c>
      <c r="B84" s="1">
        <v>1</v>
      </c>
      <c r="C84" s="1">
        <v>2</v>
      </c>
      <c r="D84" s="1">
        <v>3</v>
      </c>
      <c r="E84" s="3">
        <v>4</v>
      </c>
      <c r="F84" s="1">
        <v>5</v>
      </c>
      <c r="G84" s="3">
        <v>6</v>
      </c>
      <c r="H84" s="3">
        <v>7</v>
      </c>
      <c r="I84" s="3">
        <v>8</v>
      </c>
      <c r="J84" s="3">
        <v>9</v>
      </c>
      <c r="K84" s="3">
        <v>10</v>
      </c>
      <c r="L84" s="3">
        <v>11</v>
      </c>
      <c r="M84" s="3">
        <v>12</v>
      </c>
    </row>
    <row r="85" spans="1:13" x14ac:dyDescent="0.25">
      <c r="A85" s="16" t="s">
        <v>4</v>
      </c>
      <c r="B85" s="1" t="s">
        <v>81</v>
      </c>
      <c r="C85" s="1" t="s">
        <v>82</v>
      </c>
      <c r="D85" s="1" t="s">
        <v>81</v>
      </c>
      <c r="E85" s="1" t="s">
        <v>82</v>
      </c>
      <c r="F85" s="1" t="s">
        <v>81</v>
      </c>
      <c r="G85" s="1" t="s">
        <v>82</v>
      </c>
      <c r="H85" s="3" t="s">
        <v>81</v>
      </c>
      <c r="I85" s="3" t="s">
        <v>82</v>
      </c>
      <c r="J85" s="1" t="s">
        <v>81</v>
      </c>
      <c r="K85" s="1" t="s">
        <v>81</v>
      </c>
      <c r="L85" s="1" t="s">
        <v>81</v>
      </c>
      <c r="M85" s="1" t="s">
        <v>81</v>
      </c>
    </row>
    <row r="86" spans="1:13" x14ac:dyDescent="0.25">
      <c r="A86" s="1" t="s">
        <v>57</v>
      </c>
      <c r="B86" s="13">
        <v>46045.333333333336</v>
      </c>
      <c r="C86" s="13">
        <v>46045.5</v>
      </c>
      <c r="D86" s="13">
        <v>46045.361111111109</v>
      </c>
      <c r="E86" s="13">
        <v>46045.510416666664</v>
      </c>
      <c r="F86" s="13">
        <v>46045.326388888891</v>
      </c>
      <c r="G86" s="13">
        <v>46045.510416666664</v>
      </c>
      <c r="H86" s="13">
        <v>46045.583333333336</v>
      </c>
      <c r="I86" s="13">
        <v>46045.760416666664</v>
      </c>
      <c r="J86" s="13">
        <v>46045.555555555555</v>
      </c>
      <c r="K86" s="13">
        <v>46046.361111111109</v>
      </c>
      <c r="L86" s="13">
        <v>46046.326388888891</v>
      </c>
      <c r="M86" s="13">
        <v>46046.34375</v>
      </c>
    </row>
    <row r="87" spans="1:13" x14ac:dyDescent="0.25">
      <c r="A87" s="16" t="s">
        <v>58</v>
      </c>
      <c r="B87" s="1">
        <v>1</v>
      </c>
      <c r="C87" s="1">
        <v>1</v>
      </c>
      <c r="D87" s="1">
        <v>3</v>
      </c>
      <c r="E87" s="3">
        <v>3</v>
      </c>
      <c r="F87" s="1">
        <v>2</v>
      </c>
      <c r="G87" s="3">
        <v>2</v>
      </c>
      <c r="H87" s="3">
        <v>1</v>
      </c>
      <c r="I87" s="3">
        <v>1</v>
      </c>
      <c r="J87" s="1">
        <v>2</v>
      </c>
      <c r="K87" s="3">
        <v>1</v>
      </c>
      <c r="L87" s="3">
        <v>2</v>
      </c>
      <c r="M87" s="3">
        <v>3</v>
      </c>
    </row>
    <row r="88" spans="1:13" x14ac:dyDescent="0.25">
      <c r="A88" s="12"/>
    </row>
    <row r="89" spans="1:13" x14ac:dyDescent="0.25">
      <c r="A89" s="3" t="s">
        <v>94</v>
      </c>
      <c r="B89" s="1">
        <v>1</v>
      </c>
    </row>
    <row r="90" spans="1:13" x14ac:dyDescent="0.25">
      <c r="A90" s="1" t="s">
        <v>65</v>
      </c>
      <c r="B90" s="1">
        <v>1</v>
      </c>
    </row>
    <row r="91" spans="1:13" x14ac:dyDescent="0.25">
      <c r="A91" s="3" t="s">
        <v>95</v>
      </c>
      <c r="B91" s="17">
        <f>C86-B86+I86-H86</f>
        <v>0.34374999999272404</v>
      </c>
    </row>
    <row r="92" spans="1:13" x14ac:dyDescent="0.25">
      <c r="A92" s="3" t="s">
        <v>96</v>
      </c>
      <c r="B92" s="17">
        <f>B62-B61+E62-E61</f>
        <v>0.24305555556202307</v>
      </c>
    </row>
    <row r="93" spans="1:13" x14ac:dyDescent="0.25">
      <c r="A93" s="3" t="s">
        <v>97</v>
      </c>
      <c r="B93" s="17">
        <f>B91-B92</f>
        <v>0.10069444443070097</v>
      </c>
    </row>
  </sheetData>
  <mergeCells count="1">
    <mergeCell ref="A2:D2"/>
  </mergeCells>
  <hyperlinks>
    <hyperlink ref="B69" r:id="rId1"/>
    <hyperlink ref="C69" r:id="rId2"/>
    <hyperlink ref="D69" r:id="rId3"/>
  </hyperlinks>
  <pageMargins left="0.511811024" right="0.511811024" top="0.78740157499999996" bottom="0.78740157499999996" header="0.31496062000000002" footer="0.31496062000000002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Cliente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2026-01-23T11:33:22Z</dcterms:created>
  <dcterms:modified xsi:type="dcterms:W3CDTF">2026-01-23T14:13:26Z</dcterms:modified>
</cp:coreProperties>
</file>